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aw Responses" sheetId="2" state="visible" r:id="rId4"/>
    <sheet name="SUS Scoring" sheetId="3" state="visible" r:id="rId5"/>
  </sheets>
  <calcPr iterateCount="100" refMode="A1" iterate="false" iterateDelta="0.0001"/>
</workbook>
</file>

<file path=xl/sharedStrings.xml><?xml version="1.0" encoding="utf-8"?>
<sst xmlns="http://schemas.openxmlformats.org/spreadsheetml/2006/main" count="61" uniqueCount="60">
  <si>
    <t xml:space="preserve">MedGuard — System Usability Scale (SUS) Data Collection Workbook</t>
  </si>
  <si>
    <t xml:space="preserve">Purpose</t>
  </si>
  <si>
    <t xml:space="preserve">This workbook is the companion scoring tool for the printed SUS Data Collection Kit (MedGuard_SUS_Kit.docx). Use it to enter each participant's raw responses after a usability session; the 'SUS Scoring' sheet calculates individual and aggregate scores automatically.</t>
  </si>
  <si>
    <t xml:space="preserve">How to use this workbook</t>
  </si>
  <si>
    <t xml:space="preserve">1. Run each participant through the five task scenarios and the SUS questionnaire in the printed kit.</t>
  </si>
  <si>
    <t xml:space="preserve">2. Enter that participant's answers into the 'Raw Responses' sheet, one row per participant.</t>
  </si>
  <si>
    <t xml:space="preserve">   Only cells shaded yellow are meant to be edited; every other cell is a formula — do not overwrite it.</t>
  </si>
  <si>
    <t xml:space="preserve">3. The 'SUS Scoring' sheet updates automatically and reports each participant's SUS score (0–100),</t>
  </si>
  <si>
    <t xml:space="preserve">   the sample mean and standard deviation, and the adjective rating for the group.</t>
  </si>
  <si>
    <t xml:space="preserve">4. Copy the final 'Mean SUS score', 'Adjective rating' and 'n' values into Chapter 4's usability results</t>
  </si>
  <si>
    <t xml:space="preserve">   table once real data collection is complete.</t>
  </si>
  <si>
    <t xml:space="preserve">Recommended sample</t>
  </si>
  <si>
    <t xml:space="preserve">A purposive sample of 5–10 pharmacy students and practising pharmacists / clinic staff in Abeokuta,</t>
  </si>
  <si>
    <t xml:space="preserve">consistent with Chapter Three, Section 3.16.4 of the dissertation (Nielsen, 1994, formative usability</t>
  </si>
  <si>
    <t xml:space="preserve">evaluation rationale). Aim for at least 8 completed sessions where feasible for a more stable estimate.</t>
  </si>
  <si>
    <t xml:space="preserve">Scoring reference</t>
  </si>
  <si>
    <t xml:space="preserve">SUS score per respondent = ((Q1−1)+(5−Q2)+(Q3−1)+(5−Q4)+(Q5−1)+(5−Q6)+(Q7−1)+(5−Q8)+(Q9−1)+(5−Q10)) × 2.5</t>
  </si>
  <si>
    <t xml:space="preserve">(Brooke, 1996). Interpretation bands follow Bangor, Kortum &amp; Miller (2008): ≥85 Excellent, 72–84 Good, 52–71 OK, &lt;52 Poor; and the Sauro &amp; Lewis (2016) average-system benchmark of 68,</t>
  </si>
  <si>
    <t xml:space="preserve">both already cited in Chapters Two and Three of the dissertation.</t>
  </si>
  <si>
    <t xml:space="preserve">Do not fabricate or estimate responses. Leave rows blank until a real session has been completed.</t>
  </si>
  <si>
    <t xml:space="preserve">Participant ID</t>
  </si>
  <si>
    <t xml:space="preserve">Role (student/pharmacist/clinic staff)</t>
  </si>
  <si>
    <t xml:space="preserve">Date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</si>
  <si>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</si>
  <si>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</si>
  <si>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</si>
  <si>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</si>
  <si>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</si>
  <si>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</si>
  <si>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</si>
  <si>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</si>
  <si>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</si>
  <si>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</si>
  <si>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T1 Success (Y/N)</t>
  </si>
  <si>
    <t xml:space="preserve">T1 Time (s)</t>
  </si>
  <si>
    <t xml:space="preserve">T2 Success (Y/N)</t>
  </si>
  <si>
    <t xml:space="preserve">T2 Time (s)</t>
  </si>
  <si>
    <t xml:space="preserve">T3 Success (Y/N)</t>
  </si>
  <si>
    <t xml:space="preserve">T3 Time (s)</t>
  </si>
  <si>
    <t xml:space="preserve">T4 Success (Y/N)</t>
  </si>
  <si>
    <t xml:space="preserve">T4 Time (s)</t>
  </si>
  <si>
    <t xml:space="preserve">T5 Success (Y/N)</t>
  </si>
  <si>
    <t xml:space="preserve">T5 Time (s)</t>
  </si>
  <si>
    <t xml:space="preserve">Notes</t>
  </si>
  <si>
    <t xml:space="preserve">Role</t>
  </si>
  <si>
    <t xml:space="preserve">SUS Score (0-100)</t>
  </si>
  <si>
    <t xml:space="preserve">Above/Below Benchmark (68)</t>
  </si>
  <si>
    <t xml:space="preserve">Adjective Rating</t>
  </si>
  <si>
    <t xml:space="preserve">Avg Time-on-Task (s)</t>
  </si>
  <si>
    <t xml:space="preserve">Tasks Completed (of 5)</t>
  </si>
  <si>
    <t xml:space="preserve">Summary statistics</t>
  </si>
  <si>
    <t xml:space="preserve">n (completed sessions)</t>
  </si>
  <si>
    <t xml:space="preserve">Mean SUS score</t>
  </si>
  <si>
    <t xml:space="preserve">Standard deviation</t>
  </si>
  <si>
    <t xml:space="preserve">Minimum</t>
  </si>
  <si>
    <t xml:space="preserve">Maximum</t>
  </si>
  <si>
    <t xml:space="preserve">Benchmark (Sauro &amp; Lewis, 2016)</t>
  </si>
  <si>
    <t xml:space="preserve">Group adjective rating (Bangor et al., 2008)</t>
  </si>
  <si>
    <t xml:space="preserve">Overall task-completion rate</t>
  </si>
  <si>
    <t xml:space="preserve">Note: cells above are blank until real participant data is entered in 'Raw Responses'. No scores have been fabricated.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</si>
</sst>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sz val="10.5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7F7F7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37.3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3" t="s">
        <v>15</v>
      </c>
    </row>
    <row r="21" customFormat="false" ht="25.35" hidden="false" customHeight="false" outlineLevel="0" collapsed="false">
      <c r="A21" s="2" t="s">
        <v>16</v>
      </c>
    </row>
    <row r="22" customFormat="false" ht="25.3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13" min="4" style="0" width="6"/>
    <col collapsed="false" customWidth="true" hidden="false" outlineLevel="0" max="14" min="14" style="0" width="14"/>
    <col collapsed="false" customWidth="true" hidden="false" outlineLevel="0" max="15" min="15" style="0" width="12"/>
    <col collapsed="false" customWidth="true" hidden="false" outlineLevel="0" max="16" min="16" style="0" width="14"/>
    <col collapsed="false" customWidth="true" hidden="false" outlineLevel="0" max="17" min="17" style="0" width="12"/>
    <col collapsed="false" customWidth="true" hidden="false" outlineLevel="0" max="18" min="18" style="0" width="14"/>
    <col collapsed="false" customWidth="true" hidden="false" outlineLevel="0" max="19" min="19" style="0" width="12"/>
    <col collapsed="false" customWidth="true" hidden="false" outlineLevel="0" max="20" min="20" style="0" width="14"/>
    <col collapsed="false" customWidth="true" hidden="false" outlineLevel="0" max="21" min="21" style="0" width="12"/>
    <col collapsed="false" customWidth="true" hidden="false" outlineLevel="0" max="22" min="22" style="0" width="14"/>
    <col collapsed="false" customWidth="true" hidden="false" outlineLevel="0" max="23" min="23" style="0" width="12"/>
    <col collapsed="false" customWidth="true" hidden="false" outlineLevel="0" max="24" min="24" style="0" width="30"/>
  </cols>
  <sheetData>
    <row r="1" customFormat="false" ht="35.05" hidden="false" customHeight="false" outlineLevel="0" collapsed="false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4" t="s">
        <v>38</v>
      </c>
      <c r="T1" s="4" t="s">
        <v>39</v>
      </c>
      <c r="U1" s="4" t="s">
        <v>40</v>
      </c>
      <c r="V1" s="4" t="s">
        <v>41</v>
      </c>
      <c r="W1" s="4" t="s">
        <v>42</v>
      </c>
      <c r="X1" s="4" t="s">
        <v>43</v>
      </c>
    </row>
    <row r="2" customFormat="false" ht="15" hidden="false" customHeight="false" outlineLevel="0" collapsed="false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customFormat="false" ht="15" hidden="false" customHeight="fals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customFormat="false" ht="15" hidden="false" customHeight="fals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customFormat="false" ht="15" hidden="false" customHeight="fals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customFormat="false" ht="15" hidden="false" customHeight="fals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</sheetData>
  <dataValidations count="2">
    <dataValidation allowBlank="false" error="Enter a whole number from 1 (Strongly Disagree) to 5 (Strongly Agree)." errorStyle="stop" errorTitle="Invalid entry" operator="between" showDropDown="false" showErrorMessage="true" showInputMessage="false" sqref="D2:M21" type="whole">
      <formula1>1</formula1>
      <formula2>5</formula2>
    </dataValidation>
    <dataValidation allowBlank="false" errorStyle="stop" operator="between" showDropDown="false" showErrorMessage="true" showInputMessage="false" sqref="N2:N21 P2:P21 R2:R21 T2:T21 V2:V21" type="list">
      <formula1>"Y,N,Assisted"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7" min="6" style="0" width="18"/>
  </cols>
  <sheetData>
    <row r="1" customFormat="false" ht="23.85" hidden="false" customHeight="false" outlineLevel="0" collapsed="false">
      <c r="A1" s="4" t="s">
        <v>20</v>
      </c>
      <c r="B1" s="4" t="s">
        <v>44</v>
      </c>
      <c r="C1" s="4" t="s">
        <v>45</v>
      </c>
      <c r="D1" s="4" t="s">
        <v>46</v>
      </c>
      <c r="E1" s="4" t="s">
        <v>47</v>
      </c>
      <c r="F1" s="4" t="s">
        <v>48</v>
      </c>
      <c r="G1" s="4" t="s">
        <v>49</v>
      </c>
    </row>
    <row r="2" customFormat="false" ht="15" hidden="false" customHeight="false" outlineLevel="0" collapsed="false">
      <c r="A2" s="6" t="n">
        <f aca="false">'Raw Responses'!A2</f>
        <v>0</v>
      </c>
      <c r="B2" s="6" t="n">
        <f aca="false">'Raw Responses'!B2</f>
        <v>0</v>
      </c>
      <c r="C2" s="6" t="str">
        <f aca="false">IF('Raw Responses'!A2="","",(('Raw Responses'!D2-1)+(5-'Raw Responses'!E2)+('Raw Responses'!F2-1)+(5-'Raw Responses'!G2)+('Raw Responses'!H2-1)+(5-'Raw Responses'!I2)+('Raw Responses'!J2-1)+(5-'Raw Responses'!K2)+('Raw Responses'!L2-1)+(5-'Raw Responses'!M2))*2.5)</f>
        <v/>
      </c>
      <c r="D2" s="6" t="str">
        <f aca="false">IF(C2="","",IF(C2&gt;=68,"Above","Below"))</f>
        <v/>
      </c>
      <c r="E2" s="6" t="str">
        <f aca="false">IF(C2="","",IF(C2&gt;=85,"Excellent",IF(C2&gt;=72,"Good",IF(C2&gt;=52,"OK","Poor"))))</f>
        <v/>
      </c>
      <c r="F2" s="6" t="str">
        <f aca="false">IFERROR(AVERAGE('Raw Responses'!O2,'Raw Responses'!Q2,'Raw Responses'!S2,'Raw Responses'!U2,'Raw Responses'!W2),"")</f>
        <v/>
      </c>
      <c r="G2" s="6" t="n">
        <f aca="false">COUNTIF('Raw Responses'!N2,"Y")+COUNTIF('Raw Responses'!P2,"Y")+COUNTIF('Raw Responses'!R2,"Y")+COUNTIF('Raw Responses'!T2,"Y")+COUNTIF('Raw Responses'!V2,"Y")</f>
        <v>0</v>
      </c>
    </row>
    <row r="3" customFormat="false" ht="15" hidden="false" customHeight="false" outlineLevel="0" collapsed="false">
      <c r="A3" s="6" t="n">
        <f aca="false">'Raw Responses'!A3</f>
        <v>0</v>
      </c>
      <c r="B3" s="6" t="n">
        <f aca="false">'Raw Responses'!B3</f>
        <v>0</v>
      </c>
      <c r="C3" s="6" t="str">
        <f aca="false">IF('Raw Responses'!A3="","",(('Raw Responses'!D3-1)+(5-'Raw Responses'!E3)+('Raw Responses'!F3-1)+(5-'Raw Responses'!G3)+('Raw Responses'!H3-1)+(5-'Raw Responses'!I3)+('Raw Responses'!J3-1)+(5-'Raw Responses'!K3)+('Raw Responses'!L3-1)+(5-'Raw Responses'!M3))*2.5)</f>
        <v/>
      </c>
      <c r="D3" s="6" t="str">
        <f aca="false">IF(C3="","",IF(C3&gt;=68,"Above","Below"))</f>
        <v/>
      </c>
      <c r="E3" s="6" t="str">
        <f aca="false">IF(C3="","",IF(C3&gt;=85,"Excellent",IF(C3&gt;=72,"Good",IF(C3&gt;=52,"OK","Poor"))))</f>
        <v/>
      </c>
      <c r="F3" s="6" t="str">
        <f aca="false">IFERROR(AVERAGE('Raw Responses'!O3,'Raw Responses'!Q3,'Raw Responses'!S3,'Raw Responses'!U3,'Raw Responses'!W3),"")</f>
        <v/>
      </c>
      <c r="G3" s="6" t="n">
        <f aca="false">COUNTIF('Raw Responses'!N3,"Y")+COUNTIF('Raw Responses'!P3,"Y")+COUNTIF('Raw Responses'!R3,"Y")+COUNTIF('Raw Responses'!T3,"Y")+COUNTIF('Raw Responses'!V3,"Y")</f>
        <v>0</v>
      </c>
    </row>
    <row r="4" customFormat="false" ht="15" hidden="false" customHeight="false" outlineLevel="0" collapsed="false">
      <c r="A4" s="6" t="n">
        <f aca="false">'Raw Responses'!A4</f>
        <v>0</v>
      </c>
      <c r="B4" s="6" t="n">
        <f aca="false">'Raw Responses'!B4</f>
        <v>0</v>
      </c>
      <c r="C4" s="6" t="str">
        <f aca="false">IF('Raw Responses'!A4="","",(('Raw Responses'!D4-1)+(5-'Raw Responses'!E4)+('Raw Responses'!F4-1)+(5-'Raw Responses'!G4)+('Raw Responses'!H4-1)+(5-'Raw Responses'!I4)+('Raw Responses'!J4-1)+(5-'Raw Responses'!K4)+('Raw Responses'!L4-1)+(5-'Raw Responses'!M4))*2.5)</f>
        <v/>
      </c>
      <c r="D4" s="6" t="str">
        <f aca="false">IF(C4="","",IF(C4&gt;=68,"Above","Below"))</f>
        <v/>
      </c>
      <c r="E4" s="6" t="str">
        <f aca="false">IF(C4="","",IF(C4&gt;=85,"Excellent",IF(C4&gt;=72,"Good",IF(C4&gt;=52,"OK","Poor"))))</f>
        <v/>
      </c>
      <c r="F4" s="6" t="str">
        <f aca="false">IFERROR(AVERAGE('Raw Responses'!O4,'Raw Responses'!Q4,'Raw Responses'!S4,'Raw Responses'!U4,'Raw Responses'!W4),"")</f>
        <v/>
      </c>
      <c r="G4" s="6" t="n">
        <f aca="false">COUNTIF('Raw Responses'!N4,"Y")+COUNTIF('Raw Responses'!P4,"Y")+COUNTIF('Raw Responses'!R4,"Y")+COUNTIF('Raw Responses'!T4,"Y")+COUNTIF('Raw Responses'!V4,"Y")</f>
        <v>0</v>
      </c>
    </row>
    <row r="5" customFormat="false" ht="15" hidden="false" customHeight="false" outlineLevel="0" collapsed="false">
      <c r="A5" s="6" t="n">
        <f aca="false">'Raw Responses'!A5</f>
        <v>0</v>
      </c>
      <c r="B5" s="6" t="n">
        <f aca="false">'Raw Responses'!B5</f>
        <v>0</v>
      </c>
      <c r="C5" s="6" t="str">
        <f aca="false">IF('Raw Responses'!A5="","",(('Raw Responses'!D5-1)+(5-'Raw Responses'!E5)+('Raw Responses'!F5-1)+(5-'Raw Responses'!G5)+('Raw Responses'!H5-1)+(5-'Raw Responses'!I5)+('Raw Responses'!J5-1)+(5-'Raw Responses'!K5)+('Raw Responses'!L5-1)+(5-'Raw Responses'!M5))*2.5)</f>
        <v/>
      </c>
      <c r="D5" s="6" t="str">
        <f aca="false">IF(C5="","",IF(C5&gt;=68,"Above","Below"))</f>
        <v/>
      </c>
      <c r="E5" s="6" t="str">
        <f aca="false">IF(C5="","",IF(C5&gt;=85,"Excellent",IF(C5&gt;=72,"Good",IF(C5&gt;=52,"OK","Poor"))))</f>
        <v/>
      </c>
      <c r="F5" s="6" t="str">
        <f aca="false">IFERROR(AVERAGE('Raw Responses'!O5,'Raw Responses'!Q5,'Raw Responses'!S5,'Raw Responses'!U5,'Raw Responses'!W5),"")</f>
        <v/>
      </c>
      <c r="G5" s="6" t="n">
        <f aca="false">COUNTIF('Raw Responses'!N5,"Y")+COUNTIF('Raw Responses'!P5,"Y")+COUNTIF('Raw Responses'!R5,"Y")+COUNTIF('Raw Responses'!T5,"Y")+COUNTIF('Raw Responses'!V5,"Y")</f>
        <v>0</v>
      </c>
    </row>
    <row r="6" customFormat="false" ht="15" hidden="false" customHeight="false" outlineLevel="0" collapsed="false">
      <c r="A6" s="6" t="n">
        <f aca="false">'Raw Responses'!A6</f>
        <v>0</v>
      </c>
      <c r="B6" s="6" t="n">
        <f aca="false">'Raw Responses'!B6</f>
        <v>0</v>
      </c>
      <c r="C6" s="6" t="str">
        <f aca="false">IF('Raw Responses'!A6="","",(('Raw Responses'!D6-1)+(5-'Raw Responses'!E6)+('Raw Responses'!F6-1)+(5-'Raw Responses'!G6)+('Raw Responses'!H6-1)+(5-'Raw Responses'!I6)+('Raw Responses'!J6-1)+(5-'Raw Responses'!K6)+('Raw Responses'!L6-1)+(5-'Raw Responses'!M6))*2.5)</f>
        <v/>
      </c>
      <c r="D6" s="6" t="str">
        <f aca="false">IF(C6="","",IF(C6&gt;=68,"Above","Below"))</f>
        <v/>
      </c>
      <c r="E6" s="6" t="str">
        <f aca="false">IF(C6="","",IF(C6&gt;=85,"Excellent",IF(C6&gt;=72,"Good",IF(C6&gt;=52,"OK","Poor"))))</f>
        <v/>
      </c>
      <c r="F6" s="6" t="str">
        <f aca="false">IFERROR(AVERAGE('Raw Responses'!O6,'Raw Responses'!Q6,'Raw Responses'!S6,'Raw Responses'!U6,'Raw Responses'!W6),"")</f>
        <v/>
      </c>
      <c r="G6" s="6" t="n">
        <f aca="false">COUNTIF('Raw Responses'!N6,"Y")+COUNTIF('Raw Responses'!P6,"Y")+COUNTIF('Raw Responses'!R6,"Y")+COUNTIF('Raw Responses'!T6,"Y")+COUNTIF('Raw Responses'!V6,"Y")</f>
        <v>0</v>
      </c>
    </row>
    <row r="7" customFormat="false" ht="15" hidden="false" customHeight="false" outlineLevel="0" collapsed="false">
      <c r="A7" s="6" t="n">
        <f aca="false">'Raw Responses'!A7</f>
        <v>0</v>
      </c>
      <c r="B7" s="6" t="n">
        <f aca="false">'Raw Responses'!B7</f>
        <v>0</v>
      </c>
      <c r="C7" s="6" t="str">
        <f aca="false">IF('Raw Responses'!A7="","",(('Raw Responses'!D7-1)+(5-'Raw Responses'!E7)+('Raw Responses'!F7-1)+(5-'Raw Responses'!G7)+('Raw Responses'!H7-1)+(5-'Raw Responses'!I7)+('Raw Responses'!J7-1)+(5-'Raw Responses'!K7)+('Raw Responses'!L7-1)+(5-'Raw Responses'!M7))*2.5)</f>
        <v/>
      </c>
      <c r="D7" s="6" t="str">
        <f aca="false">IF(C7="","",IF(C7&gt;=68,"Above","Below"))</f>
        <v/>
      </c>
      <c r="E7" s="6" t="str">
        <f aca="false">IF(C7="","",IF(C7&gt;=85,"Excellent",IF(C7&gt;=72,"Good",IF(C7&gt;=52,"OK","Poor"))))</f>
        <v/>
      </c>
      <c r="F7" s="6" t="str">
        <f aca="false">IFERROR(AVERAGE('Raw Responses'!O7,'Raw Responses'!Q7,'Raw Responses'!S7,'Raw Responses'!U7,'Raw Responses'!W7),"")</f>
        <v/>
      </c>
      <c r="G7" s="6" t="n">
        <f aca="false">COUNTIF('Raw Responses'!N7,"Y")+COUNTIF('Raw Responses'!P7,"Y")+COUNTIF('Raw Responses'!R7,"Y")+COUNTIF('Raw Responses'!T7,"Y")+COUNTIF('Raw Responses'!V7,"Y")</f>
        <v>0</v>
      </c>
    </row>
    <row r="8" customFormat="false" ht="15" hidden="false" customHeight="false" outlineLevel="0" collapsed="false">
      <c r="A8" s="6" t="n">
        <f aca="false">'Raw Responses'!A8</f>
        <v>0</v>
      </c>
      <c r="B8" s="6" t="n">
        <f aca="false">'Raw Responses'!B8</f>
        <v>0</v>
      </c>
      <c r="C8" s="6" t="str">
        <f aca="false">IF('Raw Responses'!A8="","",(('Raw Responses'!D8-1)+(5-'Raw Responses'!E8)+('Raw Responses'!F8-1)+(5-'Raw Responses'!G8)+('Raw Responses'!H8-1)+(5-'Raw Responses'!I8)+('Raw Responses'!J8-1)+(5-'Raw Responses'!K8)+('Raw Responses'!L8-1)+(5-'Raw Responses'!M8))*2.5)</f>
        <v/>
      </c>
      <c r="D8" s="6" t="str">
        <f aca="false">IF(C8="","",IF(C8&gt;=68,"Above","Below"))</f>
        <v/>
      </c>
      <c r="E8" s="6" t="str">
        <f aca="false">IF(C8="","",IF(C8&gt;=85,"Excellent",IF(C8&gt;=72,"Good",IF(C8&gt;=52,"OK","Poor"))))</f>
        <v/>
      </c>
      <c r="F8" s="6" t="str">
        <f aca="false">IFERROR(AVERAGE('Raw Responses'!O8,'Raw Responses'!Q8,'Raw Responses'!S8,'Raw Responses'!U8,'Raw Responses'!W8),"")</f>
        <v/>
      </c>
      <c r="G8" s="6" t="n">
        <f aca="false">COUNTIF('Raw Responses'!N8,"Y")+COUNTIF('Raw Responses'!P8,"Y")+COUNTIF('Raw Responses'!R8,"Y")+COUNTIF('Raw Responses'!T8,"Y")+COUNTIF('Raw Responses'!V8,"Y")</f>
        <v>0</v>
      </c>
    </row>
    <row r="9" customFormat="false" ht="15" hidden="false" customHeight="false" outlineLevel="0" collapsed="false">
      <c r="A9" s="6" t="n">
        <f aca="false">'Raw Responses'!A9</f>
        <v>0</v>
      </c>
      <c r="B9" s="6" t="n">
        <f aca="false">'Raw Responses'!B9</f>
        <v>0</v>
      </c>
      <c r="C9" s="6" t="str">
        <f aca="false">IF('Raw Responses'!A9="","",(('Raw Responses'!D9-1)+(5-'Raw Responses'!E9)+('Raw Responses'!F9-1)+(5-'Raw Responses'!G9)+('Raw Responses'!H9-1)+(5-'Raw Responses'!I9)+('Raw Responses'!J9-1)+(5-'Raw Responses'!K9)+('Raw Responses'!L9-1)+(5-'Raw Responses'!M9))*2.5)</f>
        <v/>
      </c>
      <c r="D9" s="6" t="str">
        <f aca="false">IF(C9="","",IF(C9&gt;=68,"Above","Below"))</f>
        <v/>
      </c>
      <c r="E9" s="6" t="str">
        <f aca="false">IF(C9="","",IF(C9&gt;=85,"Excellent",IF(C9&gt;=72,"Good",IF(C9&gt;=52,"OK","Poor"))))</f>
        <v/>
      </c>
      <c r="F9" s="6" t="str">
        <f aca="false">IFERROR(AVERAGE('Raw Responses'!O9,'Raw Responses'!Q9,'Raw Responses'!S9,'Raw Responses'!U9,'Raw Responses'!W9),"")</f>
        <v/>
      </c>
      <c r="G9" s="6" t="n">
        <f aca="false">COUNTIF('Raw Responses'!N9,"Y")+COUNTIF('Raw Responses'!P9,"Y")+COUNTIF('Raw Responses'!R9,"Y")+COUNTIF('Raw Responses'!T9,"Y")+COUNTIF('Raw Responses'!V9,"Y")</f>
        <v>0</v>
      </c>
    </row>
    <row r="10" customFormat="false" ht="15" hidden="false" customHeight="false" outlineLevel="0" collapsed="false">
      <c r="A10" s="6" t="n">
        <f aca="false">'Raw Responses'!A10</f>
        <v>0</v>
      </c>
      <c r="B10" s="6" t="n">
        <f aca="false">'Raw Responses'!B10</f>
        <v>0</v>
      </c>
      <c r="C10" s="6" t="str">
        <f aca="false">IF('Raw Responses'!A10="","",(('Raw Responses'!D10-1)+(5-'Raw Responses'!E10)+('Raw Responses'!F10-1)+(5-'Raw Responses'!G10)+('Raw Responses'!H10-1)+(5-'Raw Responses'!I10)+('Raw Responses'!J10-1)+(5-'Raw Responses'!K10)+('Raw Responses'!L10-1)+(5-'Raw Responses'!M10))*2.5)</f>
        <v/>
      </c>
      <c r="D10" s="6" t="str">
        <f aca="false">IF(C10="","",IF(C10&gt;=68,"Above","Below"))</f>
        <v/>
      </c>
      <c r="E10" s="6" t="str">
        <f aca="false">IF(C10="","",IF(C10&gt;=85,"Excellent",IF(C10&gt;=72,"Good",IF(C10&gt;=52,"OK","Poor"))))</f>
        <v/>
      </c>
      <c r="F10" s="6" t="str">
        <f aca="false">IFERROR(AVERAGE('Raw Responses'!O10,'Raw Responses'!Q10,'Raw Responses'!S10,'Raw Responses'!U10,'Raw Responses'!W10),"")</f>
        <v/>
      </c>
      <c r="G10" s="6" t="n">
        <f aca="false">COUNTIF('Raw Responses'!N10,"Y")+COUNTIF('Raw Responses'!P10,"Y")+COUNTIF('Raw Responses'!R10,"Y")+COUNTIF('Raw Responses'!T10,"Y")+COUNTIF('Raw Responses'!V10,"Y")</f>
        <v>0</v>
      </c>
    </row>
    <row r="11" customFormat="false" ht="15" hidden="false" customHeight="false" outlineLevel="0" collapsed="false">
      <c r="A11" s="6" t="n">
        <f aca="false">'Raw Responses'!A11</f>
        <v>0</v>
      </c>
      <c r="B11" s="6" t="n">
        <f aca="false">'Raw Responses'!B11</f>
        <v>0</v>
      </c>
      <c r="C11" s="6" t="str">
        <f aca="false">IF('Raw Responses'!A11="","",(('Raw Responses'!D11-1)+(5-'Raw Responses'!E11)+('Raw Responses'!F11-1)+(5-'Raw Responses'!G11)+('Raw Responses'!H11-1)+(5-'Raw Responses'!I11)+('Raw Responses'!J11-1)+(5-'Raw Responses'!K11)+('Raw Responses'!L11-1)+(5-'Raw Responses'!M11))*2.5)</f>
        <v/>
      </c>
      <c r="D11" s="6" t="str">
        <f aca="false">IF(C11="","",IF(C11&gt;=68,"Above","Below"))</f>
        <v/>
      </c>
      <c r="E11" s="6" t="str">
        <f aca="false">IF(C11="","",IF(C11&gt;=85,"Excellent",IF(C11&gt;=72,"Good",IF(C11&gt;=52,"OK","Poor"))))</f>
        <v/>
      </c>
      <c r="F11" s="6" t="str">
        <f aca="false">IFERROR(AVERAGE('Raw Responses'!O11,'Raw Responses'!Q11,'Raw Responses'!S11,'Raw Responses'!U11,'Raw Responses'!W11),"")</f>
        <v/>
      </c>
      <c r="G11" s="6" t="n">
        <f aca="false">COUNTIF('Raw Responses'!N11,"Y")+COUNTIF('Raw Responses'!P11,"Y")+COUNTIF('Raw Responses'!R11,"Y")+COUNTIF('Raw Responses'!T11,"Y")+COUNTIF('Raw Responses'!V11,"Y")</f>
        <v>0</v>
      </c>
    </row>
    <row r="12" customFormat="false" ht="15" hidden="false" customHeight="false" outlineLevel="0" collapsed="false">
      <c r="A12" s="6" t="n">
        <f aca="false">'Raw Responses'!A12</f>
        <v>0</v>
      </c>
      <c r="B12" s="6" t="n">
        <f aca="false">'Raw Responses'!B12</f>
        <v>0</v>
      </c>
      <c r="C12" s="6" t="str">
        <f aca="false">IF('Raw Responses'!A12="","",(('Raw Responses'!D12-1)+(5-'Raw Responses'!E12)+('Raw Responses'!F12-1)+(5-'Raw Responses'!G12)+('Raw Responses'!H12-1)+(5-'Raw Responses'!I12)+('Raw Responses'!J12-1)+(5-'Raw Responses'!K12)+('Raw Responses'!L12-1)+(5-'Raw Responses'!M12))*2.5)</f>
        <v/>
      </c>
      <c r="D12" s="6" t="str">
        <f aca="false">IF(C12="","",IF(C12&gt;=68,"Above","Below"))</f>
        <v/>
      </c>
      <c r="E12" s="6" t="str">
        <f aca="false">IF(C12="","",IF(C12&gt;=85,"Excellent",IF(C12&gt;=72,"Good",IF(C12&gt;=52,"OK","Poor"))))</f>
        <v/>
      </c>
      <c r="F12" s="6" t="str">
        <f aca="false">IFERROR(AVERAGE('Raw Responses'!O12,'Raw Responses'!Q12,'Raw Responses'!S12,'Raw Responses'!U12,'Raw Responses'!W12),"")</f>
        <v/>
      </c>
      <c r="G12" s="6" t="n">
        <f aca="false">COUNTIF('Raw Responses'!N12,"Y")+COUNTIF('Raw Responses'!P12,"Y")+COUNTIF('Raw Responses'!R12,"Y")+COUNTIF('Raw Responses'!T12,"Y")+COUNTIF('Raw Responses'!V12,"Y")</f>
        <v>0</v>
      </c>
    </row>
    <row r="13" customFormat="false" ht="15" hidden="false" customHeight="false" outlineLevel="0" collapsed="false">
      <c r="A13" s="6" t="n">
        <f aca="false">'Raw Responses'!A13</f>
        <v>0</v>
      </c>
      <c r="B13" s="6" t="n">
        <f aca="false">'Raw Responses'!B13</f>
        <v>0</v>
      </c>
      <c r="C13" s="6" t="str">
        <f aca="false">IF('Raw Responses'!A13="","",(('Raw Responses'!D13-1)+(5-'Raw Responses'!E13)+('Raw Responses'!F13-1)+(5-'Raw Responses'!G13)+('Raw Responses'!H13-1)+(5-'Raw Responses'!I13)+('Raw Responses'!J13-1)+(5-'Raw Responses'!K13)+('Raw Responses'!L13-1)+(5-'Raw Responses'!M13))*2.5)</f>
        <v/>
      </c>
      <c r="D13" s="6" t="str">
        <f aca="false">IF(C13="","",IF(C13&gt;=68,"Above","Below"))</f>
        <v/>
      </c>
      <c r="E13" s="6" t="str">
        <f aca="false">IF(C13="","",IF(C13&gt;=85,"Excellent",IF(C13&gt;=72,"Good",IF(C13&gt;=52,"OK","Poor"))))</f>
        <v/>
      </c>
      <c r="F13" s="6" t="str">
        <f aca="false">IFERROR(AVERAGE('Raw Responses'!O13,'Raw Responses'!Q13,'Raw Responses'!S13,'Raw Responses'!U13,'Raw Responses'!W13),"")</f>
        <v/>
      </c>
      <c r="G13" s="6" t="n">
        <f aca="false">COUNTIF('Raw Responses'!N13,"Y")+COUNTIF('Raw Responses'!P13,"Y")+COUNTIF('Raw Responses'!R13,"Y")+COUNTIF('Raw Responses'!T13,"Y")+COUNTIF('Raw Responses'!V13,"Y")</f>
        <v>0</v>
      </c>
    </row>
    <row r="14" customFormat="false" ht="15" hidden="false" customHeight="false" outlineLevel="0" collapsed="false">
      <c r="A14" s="6" t="n">
        <f aca="false">'Raw Responses'!A14</f>
        <v>0</v>
      </c>
      <c r="B14" s="6" t="n">
        <f aca="false">'Raw Responses'!B14</f>
        <v>0</v>
      </c>
      <c r="C14" s="6" t="str">
        <f aca="false">IF('Raw Responses'!A14="","",(('Raw Responses'!D14-1)+(5-'Raw Responses'!E14)+('Raw Responses'!F14-1)+(5-'Raw Responses'!G14)+('Raw Responses'!H14-1)+(5-'Raw Responses'!I14)+('Raw Responses'!J14-1)+(5-'Raw Responses'!K14)+('Raw Responses'!L14-1)+(5-'Raw Responses'!M14))*2.5)</f>
        <v/>
      </c>
      <c r="D14" s="6" t="str">
        <f aca="false">IF(C14="","",IF(C14&gt;=68,"Above","Below"))</f>
        <v/>
      </c>
      <c r="E14" s="6" t="str">
        <f aca="false">IF(C14="","",IF(C14&gt;=85,"Excellent",IF(C14&gt;=72,"Good",IF(C14&gt;=52,"OK","Poor"))))</f>
        <v/>
      </c>
      <c r="F14" s="6" t="str">
        <f aca="false">IFERROR(AVERAGE('Raw Responses'!O14,'Raw Responses'!Q14,'Raw Responses'!S14,'Raw Responses'!U14,'Raw Responses'!W14),"")</f>
        <v/>
      </c>
      <c r="G14" s="6" t="n">
        <f aca="false">COUNTIF('Raw Responses'!N14,"Y")+COUNTIF('Raw Responses'!P14,"Y")+COUNTIF('Raw Responses'!R14,"Y")+COUNTIF('Raw Responses'!T14,"Y")+COUNTIF('Raw Responses'!V14,"Y")</f>
        <v>0</v>
      </c>
    </row>
    <row r="15" customFormat="false" ht="15" hidden="false" customHeight="false" outlineLevel="0" collapsed="false">
      <c r="A15" s="6" t="n">
        <f aca="false">'Raw Responses'!A15</f>
        <v>0</v>
      </c>
      <c r="B15" s="6" t="n">
        <f aca="false">'Raw Responses'!B15</f>
        <v>0</v>
      </c>
      <c r="C15" s="6" t="str">
        <f aca="false">IF('Raw Responses'!A15="","",(('Raw Responses'!D15-1)+(5-'Raw Responses'!E15)+('Raw Responses'!F15-1)+(5-'Raw Responses'!G15)+('Raw Responses'!H15-1)+(5-'Raw Responses'!I15)+('Raw Responses'!J15-1)+(5-'Raw Responses'!K15)+('Raw Responses'!L15-1)+(5-'Raw Responses'!M15))*2.5)</f>
        <v/>
      </c>
      <c r="D15" s="6" t="str">
        <f aca="false">IF(C15="","",IF(C15&gt;=68,"Above","Below"))</f>
        <v/>
      </c>
      <c r="E15" s="6" t="str">
        <f aca="false">IF(C15="","",IF(C15&gt;=85,"Excellent",IF(C15&gt;=72,"Good",IF(C15&gt;=52,"OK","Poor"))))</f>
        <v/>
      </c>
      <c r="F15" s="6" t="str">
        <f aca="false">IFERROR(AVERAGE('Raw Responses'!O15,'Raw Responses'!Q15,'Raw Responses'!S15,'Raw Responses'!U15,'Raw Responses'!W15),"")</f>
        <v/>
      </c>
      <c r="G15" s="6" t="n">
        <f aca="false">COUNTIF('Raw Responses'!N15,"Y")+COUNTIF('Raw Responses'!P15,"Y")+COUNTIF('Raw Responses'!R15,"Y")+COUNTIF('Raw Responses'!T15,"Y")+COUNTIF('Raw Responses'!V15,"Y")</f>
        <v>0</v>
      </c>
    </row>
    <row r="16" customFormat="false" ht="15" hidden="false" customHeight="false" outlineLevel="0" collapsed="false">
      <c r="A16" s="6" t="n">
        <f aca="false">'Raw Responses'!A16</f>
        <v>0</v>
      </c>
      <c r="B16" s="6" t="n">
        <f aca="false">'Raw Responses'!B16</f>
        <v>0</v>
      </c>
      <c r="C16" s="6" t="str">
        <f aca="false">IF('Raw Responses'!A16="","",(('Raw Responses'!D16-1)+(5-'Raw Responses'!E16)+('Raw Responses'!F16-1)+(5-'Raw Responses'!G16)+('Raw Responses'!H16-1)+(5-'Raw Responses'!I16)+('Raw Responses'!J16-1)+(5-'Raw Responses'!K16)+('Raw Responses'!L16-1)+(5-'Raw Responses'!M16))*2.5)</f>
        <v/>
      </c>
      <c r="D16" s="6" t="str">
        <f aca="false">IF(C16="","",IF(C16&gt;=68,"Above","Below"))</f>
        <v/>
      </c>
      <c r="E16" s="6" t="str">
        <f aca="false">IF(C16="","",IF(C16&gt;=85,"Excellent",IF(C16&gt;=72,"Good",IF(C16&gt;=52,"OK","Poor"))))</f>
        <v/>
      </c>
      <c r="F16" s="6" t="str">
        <f aca="false">IFERROR(AVERAGE('Raw Responses'!O16,'Raw Responses'!Q16,'Raw Responses'!S16,'Raw Responses'!U16,'Raw Responses'!W16),"")</f>
        <v/>
      </c>
      <c r="G16" s="6" t="n">
        <f aca="false">COUNTIF('Raw Responses'!N16,"Y")+COUNTIF('Raw Responses'!P16,"Y")+COUNTIF('Raw Responses'!R16,"Y")+COUNTIF('Raw Responses'!T16,"Y")+COUNTIF('Raw Responses'!V16,"Y")</f>
        <v>0</v>
      </c>
    </row>
    <row r="17" customFormat="false" ht="15" hidden="false" customHeight="false" outlineLevel="0" collapsed="false">
      <c r="A17" s="6" t="n">
        <f aca="false">'Raw Responses'!A17</f>
        <v>0</v>
      </c>
      <c r="B17" s="6" t="n">
        <f aca="false">'Raw Responses'!B17</f>
        <v>0</v>
      </c>
      <c r="C17" s="6" t="str">
        <f aca="false">IF('Raw Responses'!A17="","",(('Raw Responses'!D17-1)+(5-'Raw Responses'!E17)+('Raw Responses'!F17-1)+(5-'Raw Responses'!G17)+('Raw Responses'!H17-1)+(5-'Raw Responses'!I17)+('Raw Responses'!J17-1)+(5-'Raw Responses'!K17)+('Raw Responses'!L17-1)+(5-'Raw Responses'!M17))*2.5)</f>
        <v/>
      </c>
      <c r="D17" s="6" t="str">
        <f aca="false">IF(C17="","",IF(C17&gt;=68,"Above","Below"))</f>
        <v/>
      </c>
      <c r="E17" s="6" t="str">
        <f aca="false">IF(C17="","",IF(C17&gt;=85,"Excellent",IF(C17&gt;=72,"Good",IF(C17&gt;=52,"OK","Poor"))))</f>
        <v/>
      </c>
      <c r="F17" s="6" t="str">
        <f aca="false">IFERROR(AVERAGE('Raw Responses'!O17,'Raw Responses'!Q17,'Raw Responses'!S17,'Raw Responses'!U17,'Raw Responses'!W17),"")</f>
        <v/>
      </c>
      <c r="G17" s="6" t="n">
        <f aca="false">COUNTIF('Raw Responses'!N17,"Y")+COUNTIF('Raw Responses'!P17,"Y")+COUNTIF('Raw Responses'!R17,"Y")+COUNTIF('Raw Responses'!T17,"Y")+COUNTIF('Raw Responses'!V17,"Y")</f>
        <v>0</v>
      </c>
    </row>
    <row r="18" customFormat="false" ht="15" hidden="false" customHeight="false" outlineLevel="0" collapsed="false">
      <c r="A18" s="6" t="n">
        <f aca="false">'Raw Responses'!A18</f>
        <v>0</v>
      </c>
      <c r="B18" s="6" t="n">
        <f aca="false">'Raw Responses'!B18</f>
        <v>0</v>
      </c>
      <c r="C18" s="6" t="str">
        <f aca="false">IF('Raw Responses'!A18="","",(('Raw Responses'!D18-1)+(5-'Raw Responses'!E18)+('Raw Responses'!F18-1)+(5-'Raw Responses'!G18)+('Raw Responses'!H18-1)+(5-'Raw Responses'!I18)+('Raw Responses'!J18-1)+(5-'Raw Responses'!K18)+('Raw Responses'!L18-1)+(5-'Raw Responses'!M18))*2.5)</f>
        <v/>
      </c>
      <c r="D18" s="6" t="str">
        <f aca="false">IF(C18="","",IF(C18&gt;=68,"Above","Below"))</f>
        <v/>
      </c>
      <c r="E18" s="6" t="str">
        <f aca="false">IF(C18="","",IF(C18&gt;=85,"Excellent",IF(C18&gt;=72,"Good",IF(C18&gt;=52,"OK","Poor"))))</f>
        <v/>
      </c>
      <c r="F18" s="6" t="str">
        <f aca="false">IFERROR(AVERAGE('Raw Responses'!O18,'Raw Responses'!Q18,'Raw Responses'!S18,'Raw Responses'!U18,'Raw Responses'!W18),"")</f>
        <v/>
      </c>
      <c r="G18" s="6" t="n">
        <f aca="false">COUNTIF('Raw Responses'!N18,"Y")+COUNTIF('Raw Responses'!P18,"Y")+COUNTIF('Raw Responses'!R18,"Y")+COUNTIF('Raw Responses'!T18,"Y")+COUNTIF('Raw Responses'!V18,"Y")</f>
        <v>0</v>
      </c>
    </row>
    <row r="19" customFormat="false" ht="15" hidden="false" customHeight="false" outlineLevel="0" collapsed="false">
      <c r="A19" s="6" t="n">
        <f aca="false">'Raw Responses'!A19</f>
        <v>0</v>
      </c>
      <c r="B19" s="6" t="n">
        <f aca="false">'Raw Responses'!B19</f>
        <v>0</v>
      </c>
      <c r="C19" s="6" t="str">
        <f aca="false">IF('Raw Responses'!A19="","",(('Raw Responses'!D19-1)+(5-'Raw Responses'!E19)+('Raw Responses'!F19-1)+(5-'Raw Responses'!G19)+('Raw Responses'!H19-1)+(5-'Raw Responses'!I19)+('Raw Responses'!J19-1)+(5-'Raw Responses'!K19)+('Raw Responses'!L19-1)+(5-'Raw Responses'!M19))*2.5)</f>
        <v/>
      </c>
      <c r="D19" s="6" t="str">
        <f aca="false">IF(C19="","",IF(C19&gt;=68,"Above","Below"))</f>
        <v/>
      </c>
      <c r="E19" s="6" t="str">
        <f aca="false">IF(C19="","",IF(C19&gt;=85,"Excellent",IF(C19&gt;=72,"Good",IF(C19&gt;=52,"OK","Poor"))))</f>
        <v/>
      </c>
      <c r="F19" s="6" t="str">
        <f aca="false">IFERROR(AVERAGE('Raw Responses'!O19,'Raw Responses'!Q19,'Raw Responses'!S19,'Raw Responses'!U19,'Raw Responses'!W19),"")</f>
        <v/>
      </c>
      <c r="G19" s="6" t="n">
        <f aca="false">COUNTIF('Raw Responses'!N19,"Y")+COUNTIF('Raw Responses'!P19,"Y")+COUNTIF('Raw Responses'!R19,"Y")+COUNTIF('Raw Responses'!T19,"Y")+COUNTIF('Raw Responses'!V19,"Y")</f>
        <v>0</v>
      </c>
    </row>
    <row r="20" customFormat="false" ht="15" hidden="false" customHeight="false" outlineLevel="0" collapsed="false">
      <c r="A20" s="6" t="n">
        <f aca="false">'Raw Responses'!A20</f>
        <v>0</v>
      </c>
      <c r="B20" s="6" t="n">
        <f aca="false">'Raw Responses'!B20</f>
        <v>0</v>
      </c>
      <c r="C20" s="6" t="str">
        <f aca="false">IF('Raw Responses'!A20="","",(('Raw Responses'!D20-1)+(5-'Raw Responses'!E20)+('Raw Responses'!F20-1)+(5-'Raw Responses'!G20)+('Raw Responses'!H20-1)+(5-'Raw Responses'!I20)+('Raw Responses'!J20-1)+(5-'Raw Responses'!K20)+('Raw Responses'!L20-1)+(5-'Raw Responses'!M20))*2.5)</f>
        <v/>
      </c>
      <c r="D20" s="6" t="str">
        <f aca="false">IF(C20="","",IF(C20&gt;=68,"Above","Below"))</f>
        <v/>
      </c>
      <c r="E20" s="6" t="str">
        <f aca="false">IF(C20="","",IF(C20&gt;=85,"Excellent",IF(C20&gt;=72,"Good",IF(C20&gt;=52,"OK","Poor"))))</f>
        <v/>
      </c>
      <c r="F20" s="6" t="str">
        <f aca="false">IFERROR(AVERAGE('Raw Responses'!O20,'Raw Responses'!Q20,'Raw Responses'!S20,'Raw Responses'!U20,'Raw Responses'!W20),"")</f>
        <v/>
      </c>
      <c r="G20" s="6" t="n">
        <f aca="false">COUNTIF('Raw Responses'!N20,"Y")+COUNTIF('Raw Responses'!P20,"Y")+COUNTIF('Raw Responses'!R20,"Y")+COUNTIF('Raw Responses'!T20,"Y")+COUNTIF('Raw Responses'!V20,"Y")</f>
        <v>0</v>
      </c>
    </row>
    <row r="21" customFormat="false" ht="15" hidden="false" customHeight="false" outlineLevel="0" collapsed="false">
      <c r="A21" s="6" t="n">
        <f aca="false">'Raw Responses'!A21</f>
        <v>0</v>
      </c>
      <c r="B21" s="6" t="n">
        <f aca="false">'Raw Responses'!B21</f>
        <v>0</v>
      </c>
      <c r="C21" s="6" t="str">
        <f aca="false">IF('Raw Responses'!A21="","",(('Raw Responses'!D21-1)+(5-'Raw Responses'!E21)+('Raw Responses'!F21-1)+(5-'Raw Responses'!G21)+('Raw Responses'!H21-1)+(5-'Raw Responses'!I21)+('Raw Responses'!J21-1)+(5-'Raw Responses'!K21)+('Raw Responses'!L21-1)+(5-'Raw Responses'!M21))*2.5)</f>
        <v/>
      </c>
      <c r="D21" s="6" t="str">
        <f aca="false">IF(C21="","",IF(C21&gt;=68,"Above","Below"))</f>
        <v/>
      </c>
      <c r="E21" s="6" t="str">
        <f aca="false">IF(C21="","",IF(C21&gt;=85,"Excellent",IF(C21&gt;=72,"Good",IF(C21&gt;=52,"OK","Poor"))))</f>
        <v/>
      </c>
      <c r="F21" s="6" t="str">
        <f aca="false">IFERROR(AVERAGE('Raw Responses'!O21,'Raw Responses'!Q21,'Raw Responses'!S21,'Raw Responses'!U21,'Raw Responses'!W21),"")</f>
        <v/>
      </c>
      <c r="G21" s="6" t="n">
        <f aca="false">COUNTIF('Raw Responses'!N21,"Y")+COUNTIF('Raw Responses'!P21,"Y")+COUNTIF('Raw Responses'!R21,"Y")+COUNTIF('Raw Responses'!T21,"Y")+COUNTIF('Raw Responses'!V21,"Y")</f>
        <v>0</v>
      </c>
    </row>
    <row r="23" customFormat="false" ht="15" hidden="false" customHeight="false" outlineLevel="0" collapsed="false">
      <c r="A23" s="7" t="s">
        <v>50</v>
      </c>
    </row>
    <row r="24" customFormat="false" ht="15" hidden="false" customHeight="false" outlineLevel="0" collapsed="false">
      <c r="A24" s="8" t="s">
        <v>51</v>
      </c>
      <c r="B24" s="9" t="n">
        <f aca="false">COUNT(C2:C21)</f>
        <v>0</v>
      </c>
    </row>
    <row r="25" customFormat="false" ht="15" hidden="false" customHeight="false" outlineLevel="0" collapsed="false">
      <c r="A25" s="8" t="s">
        <v>52</v>
      </c>
      <c r="B25" s="9" t="str">
        <f aca="false">IFERROR(AVERAGE(C2:C21),"")</f>
        <v/>
      </c>
    </row>
    <row r="26" customFormat="false" ht="15" hidden="false" customHeight="false" outlineLevel="0" collapsed="false">
      <c r="A26" s="8" t="s">
        <v>53</v>
      </c>
      <c r="B26" s="9" t="str">
        <f aca="false">IFERROR(STDEV(C2:C21),"")</f>
        <v/>
      </c>
    </row>
    <row r="27" customFormat="false" ht="15" hidden="false" customHeight="false" outlineLevel="0" collapsed="false">
      <c r="A27" s="8" t="s">
        <v>54</v>
      </c>
      <c r="B27" s="9" t="n">
        <f aca="false">IFERROR(MIN(C2:C21),"")</f>
        <v>0</v>
      </c>
    </row>
    <row r="28" customFormat="false" ht="15" hidden="false" customHeight="false" outlineLevel="0" collapsed="false">
      <c r="A28" s="8" t="s">
        <v>55</v>
      </c>
      <c r="B28" s="9" t="n">
        <f aca="false">IFERROR(MAX(C2:C21),"")</f>
        <v>0</v>
      </c>
    </row>
    <row r="29" customFormat="false" ht="15" hidden="false" customHeight="false" outlineLevel="0" collapsed="false">
      <c r="A29" s="8" t="s">
        <v>56</v>
      </c>
      <c r="B29" s="9" t="n">
        <v>68</v>
      </c>
    </row>
    <row r="30" customFormat="false" ht="15" hidden="false" customHeight="false" outlineLevel="0" collapsed="false">
      <c r="A30" s="8" t="s">
        <v>57</v>
      </c>
      <c r="B30" s="9" t="str">
        <f aca="false">IF(COUNT(C2:C21)=0,"",IF(AVERAGE(C2:C21)&gt;=85,"Excellent",IF(AVERAGE(C2:C21)&gt;=72,"Good",IF(AVERAGE(C2:C21)&gt;=52,"OK","Poor"))))</f>
        <v/>
      </c>
    </row>
    <row r="31" customFormat="false" ht="15" hidden="false" customHeight="false" outlineLevel="0" collapsed="false">
      <c r="A31" s="8" t="s">
        <v>58</v>
      </c>
      <c r="B31" s="9" t="n">
        <f aca="false">IFERROR(AVERAGE(G2:G21)/5,"")</f>
        <v>0</v>
      </c>
    </row>
    <row r="32" customFormat="false" ht="15" hidden="false" customHeight="false" outlineLevel="0" collapsed="false">
      <c r="A32" s="10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2026-08-03T08:27:44Z</dcterms:created>
  <dc:creator>Joshua Ubaga</dc:creator>
  <dc:description/>
  <dc:language>en-US</dc:language>
  <cp:lastModifiedBy>Joshua Ubaga</cp:lastModifiedBy>
  <dcterms:modified xsi:type="dcterms:W3CDTF">2026-08-03T08:29:52Z</dcterms:modified>
  <cp:revision>0</cp:revision>
  <dc:subject/>
  <dc:title>MedGuard — SUS Scoring Workbook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